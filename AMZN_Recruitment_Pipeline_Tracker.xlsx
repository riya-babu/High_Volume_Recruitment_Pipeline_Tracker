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12B8570E4D1FE3F/Documents/"/>
    </mc:Choice>
  </mc:AlternateContent>
  <xr:revisionPtr revIDLastSave="172" documentId="8_{96090942-BB65-4B43-AC4D-A906946F7D5A}" xr6:coauthVersionLast="47" xr6:coauthVersionMax="47" xr10:uidLastSave="{7B1C30DA-2358-487B-845F-D929F4D93C55}"/>
  <bookViews>
    <workbookView xWindow="-108" yWindow="-108" windowWidth="23256" windowHeight="12456" activeTab="2" xr2:uid="{00000000-000D-0000-FFFF-FFFF00000000}"/>
  </bookViews>
  <sheets>
    <sheet name="Master Pipeline" sheetId="1" r:id="rId1"/>
    <sheet name="Metrics Dashboard" sheetId="2" r:id="rId2"/>
    <sheet name="Search Console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</calcChain>
</file>

<file path=xl/sharedStrings.xml><?xml version="1.0" encoding="utf-8"?>
<sst xmlns="http://schemas.openxmlformats.org/spreadsheetml/2006/main" count="36" uniqueCount="28">
  <si>
    <t>Candidate_ID</t>
  </si>
  <si>
    <t>Full_Name</t>
  </si>
  <si>
    <t>Target_Role</t>
  </si>
  <si>
    <t>Interview_Stage</t>
  </si>
  <si>
    <t>AMZN-001</t>
  </si>
  <si>
    <t>Aarav Sharma</t>
  </si>
  <si>
    <t>Cloud Support Associate</t>
  </si>
  <si>
    <t>Assessment Loop</t>
  </si>
  <si>
    <t>AMZN-002</t>
  </si>
  <si>
    <t>Priya Patel</t>
  </si>
  <si>
    <t>Operations Manager</t>
  </si>
  <si>
    <t>Initial Screening</t>
  </si>
  <si>
    <t>AMZN-003</t>
  </si>
  <si>
    <t>Rohan Das</t>
  </si>
  <si>
    <t>AMZN-004</t>
  </si>
  <si>
    <t>Ananya Reddy</t>
  </si>
  <si>
    <t>HR Operations Specialist</t>
  </si>
  <si>
    <t>AMZN-005</t>
  </si>
  <si>
    <t>Vikram Malhotra</t>
  </si>
  <si>
    <t>Sourced</t>
  </si>
  <si>
    <t>Grand Total</t>
  </si>
  <si>
    <t>Enter Candidate ID:</t>
  </si>
  <si>
    <t>Candidate Name:</t>
  </si>
  <si>
    <t>Target Role:</t>
  </si>
  <si>
    <t>Current Stage:</t>
  </si>
  <si>
    <t>Total Candidates</t>
  </si>
  <si>
    <t>Interview Stage</t>
  </si>
  <si>
    <t>Candidate Profile Lookup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</si>
</sst>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6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pivotButton="1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NumberFormat="1" applyFont="1"/>
  </cellXfs>
  <cellStyles count="1">
    <cellStyle name="Normal" xfId="0" builtinId="0"/>
  </cellStyles>
  <dxfs count="24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[AMZN_Recruitment_Pipeline_Tracker.xlsx]Metrics Dashboard!Metrics Dashboard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Active</a:t>
            </a:r>
            <a:r>
              <a:rPr lang="en-US" baseline="0"/>
              <a:t> Candidates by Stage</a:t>
            </a:r>
            <a:endParaRPr lang="en-US"/>
          </a:p>
        </c:rich>
      </c:tx>
      <c:layout>
        <c:manualLayout>
          <c:xMode val="edge"/>
          <c:yMode val="edge"/>
          <c:x val="0.260745341614906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 Dashboard'!$B$1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'Metrics Dashboard'!$A$2:$A$5</c:f>
              <c:strCache>
                <c:ptCount val="3"/>
                <c:pt idx="0">
                  <c:v>Assessment Loop</c:v>
                </c:pt>
                <c:pt idx="1">
                  <c:v>Initial Screening</c:v>
                </c:pt>
                <c:pt idx="2">
                  <c:v>Sourced</c:v>
                </c:pt>
              </c:strCache>
            </c:strRef>
          </c:cat>
          <c:val>
            <c:numRef>
              <c:f>'Metrics Dashboard'!$B$2:$B$5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4-495D-9AD2-7FB58A6025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27766015"/>
        <c:axId val="1027770815"/>
      </c:barChart>
      <c:catAx>
        <c:axId val="102776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70815"/>
        <c:crosses val="autoZero"/>
        <c:auto val="1"/>
        <c:lblAlgn val="ctr"/>
        <c:lblOffset val="100"/>
        <c:noMultiLvlLbl val="0"/>
      </c:catAx>
      <c:valAx>
        <c:axId val="10277708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776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0</xdr:row>
      <xdr:rowOff>320040</xdr:rowOff>
    </xdr:from>
    <xdr:to>
      <xdr:col>9</xdr:col>
      <xdr:colOff>441960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147B3-0F43-A2D2-1BEA-A97BAD98F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186.877973958333" refreshedVersion="8" recordCount="5" xr:uid="{00000000-000A-0000-FFFF-FFFF00000000}">
  <cacheSource type="worksheet">
    <worksheetSource ref="A1:D6" sheet="Master Pipeline"/>
  </cacheSource>
  <cacheFields count="4">
    <cacheField name="Candidate_ID" numFmtId="0">
      <sharedItems/>
    </cacheField>
    <cacheField name="Full_Name" numFmtId="0">
      <sharedItems/>
    </cacheField>
    <cacheField name="Target_Role" numFmtId="0">
      <sharedItems/>
    </cacheField>
    <cacheField name="Interview_Stage" numFmtId="0">
      <sharedItems count="3">
        <s v="Assessment Loop"/>
        <s v="Initial Screening"/>
        <s v="Sourc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AMZN-001"/>
    <s v="Aarav Sharma"/>
    <s v="Cloud Support Associate"/>
    <x v="0"/>
  </r>
  <r>
    <s v="AMZN-002"/>
    <s v="Priya Patel"/>
    <s v="Operations Manager"/>
    <x v="1"/>
  </r>
  <r>
    <s v="AMZN-003"/>
    <s v="Rohan Das"/>
    <s v="Cloud Support Associate"/>
    <x v="1"/>
  </r>
  <r>
    <s v="AMZN-004"/>
    <s v="Ananya Reddy"/>
    <s v="HR Operations Specialist"/>
    <x v="0"/>
  </r>
  <r>
    <s v="AMZN-005"/>
    <s v="Vikram Malhotra"/>
    <s v="Operations Manager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Metrics Dashboard" cacheId="4" applyNumberFormats="0" applyBorderFormats="0" applyFontFormats="0" applyPatternFormats="0" applyAlignmentFormats="0" applyWidthHeightFormats="0" dataCaption="" updatedVersion="8" compact="0" compactData="0" chartFormat="3">
  <location ref="A1:B5" firstHeaderRow="1" firstDataRow="1" firstDataCol="1"/>
  <pivotFields count="4">
    <pivotField name="Candidate_ID" dataField="1" compact="0" outline="0" multipleItemSelectionAllowed="1" showAll="0"/>
    <pivotField name="Full_Name" compact="0" outline="0" multipleItemSelectionAllowed="1" showAll="0"/>
    <pivotField name="Target_Role" compact="0" outline="0" multipleItemSelectionAllowed="1" showAll="0"/>
    <pivotField name="Interview Stage" axis="axisRow" compact="0" outline="0" multipleItemSelectionAllowed="1" showAll="0" sortType="ascending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andidates" fld="0" subtotal="count" baseField="0"/>
  </dataFields>
  <formats count="12">
    <format dxfId="23">
      <pivotArea type="all" dataOnly="0" outline="0" fieldPosition="0"/>
    </format>
    <format dxfId="22">
      <pivotArea outline="0" fieldPosition="0"/>
    </format>
    <format dxfId="21">
      <pivotArea field="3" type="button" dataOnly="0" labelOnly="1" outline="0" axis="axisRow" fieldPosition="0"/>
    </format>
    <format dxfId="20">
      <pivotArea dataOnly="0" labelOnly="1" outline="0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fieldPosition="0"/>
    </format>
    <format dxfId="15">
      <pivotArea field="3" type="button" dataOnly="0" labelOnly="1" outline="0" axis="axisRow" fieldPosition="0"/>
    </format>
    <format dxfId="14">
      <pivotArea dataOnly="0" labelOnly="1" outline="0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>
      <selection activeCell="A14" sqref="A14"/>
    </sheetView>
  </sheetViews>
  <sheetFormatPr defaultColWidth="12.6640625" defaultRowHeight="15.75" customHeight="1" x14ac:dyDescent="0.25"/>
  <cols>
    <col min="1" max="1" width="33.5546875" customWidth="1"/>
    <col min="2" max="2" width="37.6640625" customWidth="1"/>
    <col min="3" max="3" width="44.5546875" customWidth="1"/>
    <col min="4" max="4" width="26.6640625" customWidth="1"/>
  </cols>
  <sheetData>
    <row r="1" spans="1:4" ht="30.6" customHeight="1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ht="20.399999999999999" customHeigh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4" ht="25.8" customHeight="1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25.8" customHeight="1" x14ac:dyDescent="0.25">
      <c r="A4" s="1" t="s">
        <v>12</v>
      </c>
      <c r="B4" s="1" t="s">
        <v>13</v>
      </c>
      <c r="C4" s="1" t="s">
        <v>6</v>
      </c>
      <c r="D4" s="1" t="s">
        <v>11</v>
      </c>
    </row>
    <row r="5" spans="1:4" ht="27" customHeight="1" x14ac:dyDescent="0.25">
      <c r="A5" s="1" t="s">
        <v>14</v>
      </c>
      <c r="B5" s="1" t="s">
        <v>15</v>
      </c>
      <c r="C5" s="1" t="s">
        <v>16</v>
      </c>
      <c r="D5" s="1" t="s">
        <v>7</v>
      </c>
    </row>
    <row r="6" spans="1:4" ht="27.6" customHeight="1" x14ac:dyDescent="0.25">
      <c r="A6" s="1" t="s">
        <v>17</v>
      </c>
      <c r="B6" s="1" t="s">
        <v>18</v>
      </c>
      <c r="C6" s="1" t="s">
        <v>10</v>
      </c>
      <c r="D6" s="1" t="s">
        <v>19</v>
      </c>
    </row>
  </sheetData>
  <dataValidations count="1">
    <dataValidation type="list" allowBlank="1" showErrorMessage="1" sqref="D2:D6" xr:uid="{00000000-0002-0000-0000-000000000000}">
      <formula1>"Sourced,Initial Screening,Assessment Loop,Background Check,Offer Extended"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showGridLines="0" workbookViewId="0">
      <selection activeCell="B18" sqref="B18"/>
    </sheetView>
  </sheetViews>
  <sheetFormatPr defaultColWidth="12.6640625" defaultRowHeight="15.75" customHeight="1" x14ac:dyDescent="0.25"/>
  <cols>
    <col min="1" max="1" width="36.44140625" customWidth="1"/>
    <col min="2" max="2" width="38.109375" customWidth="1"/>
  </cols>
  <sheetData>
    <row r="1" spans="1:2" ht="18" x14ac:dyDescent="0.35">
      <c r="A1" s="2" t="s">
        <v>26</v>
      </c>
      <c r="B1" s="3" t="s">
        <v>25</v>
      </c>
    </row>
    <row r="2" spans="1:2" ht="18" x14ac:dyDescent="0.35">
      <c r="A2" s="3" t="s">
        <v>7</v>
      </c>
      <c r="B2" s="11">
        <v>2</v>
      </c>
    </row>
    <row r="3" spans="1:2" ht="18" x14ac:dyDescent="0.35">
      <c r="A3" s="3" t="s">
        <v>11</v>
      </c>
      <c r="B3" s="11">
        <v>2</v>
      </c>
    </row>
    <row r="4" spans="1:2" ht="18" x14ac:dyDescent="0.35">
      <c r="A4" s="3" t="s">
        <v>19</v>
      </c>
      <c r="B4" s="11">
        <v>1</v>
      </c>
    </row>
    <row r="5" spans="1:2" ht="18" x14ac:dyDescent="0.35">
      <c r="A5" s="3" t="s">
        <v>20</v>
      </c>
      <c r="B5" s="11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1" max="1" width="38.109375" customWidth="1"/>
    <col min="2" max="2" width="32" customWidth="1"/>
  </cols>
  <sheetData>
    <row r="1" spans="1:2" ht="25.2" customHeight="1" x14ac:dyDescent="0.4">
      <c r="A1" s="9" t="s">
        <v>27</v>
      </c>
      <c r="B1" s="10"/>
    </row>
    <row r="2" spans="1:2" ht="23.4" customHeight="1" x14ac:dyDescent="0.25">
      <c r="A2" s="7" t="s">
        <v>21</v>
      </c>
      <c r="B2" s="5" t="s">
        <v>8</v>
      </c>
    </row>
    <row r="3" spans="1:2" ht="22.8" customHeight="1" x14ac:dyDescent="0.25">
      <c r="A3" s="7" t="s">
        <v>22</v>
      </c>
      <c r="B3" s="6" t="str">
        <f>VLOOKUP(B2,'Master Pipeline'!A:E,2, FALSE)</f>
        <v>Priya Patel</v>
      </c>
    </row>
    <row r="4" spans="1:2" ht="22.2" customHeight="1" x14ac:dyDescent="0.25">
      <c r="A4" s="7" t="s">
        <v>23</v>
      </c>
      <c r="B4" s="6" t="str">
        <f>VLOOKUP(B2,'Master Pipeline'!A:E,3,FALSE)</f>
        <v>Operations Manager</v>
      </c>
    </row>
    <row r="5" spans="1:2" ht="25.8" customHeight="1" x14ac:dyDescent="0.25">
      <c r="A5" s="7" t="s">
        <v>24</v>
      </c>
      <c r="B5" s="6" t="str">
        <f>VLOOKUP(B2,'Master Pipeline'!A:E,4,FALSE)</f>
        <v>Initial Screening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Pipeline</vt:lpstr>
      <vt:lpstr>Metrics Dashboard</vt:lpstr>
      <vt:lpstr>Search Console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BABU</cp:lastModifiedBy>
  <dcterms:created xsi:type="dcterms:W3CDTF">2026-06-13T14:16:25Z</dcterms:created>
  <dcterms:modified xsi:type="dcterms:W3CDTF">2026-06-13T15:34:33Z</dcterms:modified>
</cp:coreProperties>
</file>